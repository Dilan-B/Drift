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nges" sheetId="2" state="visible" r:id="rId2"/>
  </sheets>
  <definedNames>
    <definedName name="_xlnm._FilterDatabase" localSheetId="1" hidden="1">'Changes'!$A$1:$H$108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2026-08-27.</t>
        </is>
      </c>
    </row>
    <row r="4">
      <c r="A4" s="3" t="inlineStr">
        <is>
          <t>Total changes</t>
        </is>
      </c>
      <c r="B4" s="3">
        <f>COUNTA(Changes!E2:E108)</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COUNTIF(Changes!$C$2:$C$108,A8)</f>
        <v/>
      </c>
      <c r="D8" s="7" t="inlineStr">
        <is>
          <t>AI Check</t>
        </is>
      </c>
      <c r="E8" s="7">
        <f>COUNTIF(Changes!$D$2:$D$108,D8)</f>
        <v/>
      </c>
      <c r="G8" s="7" t="inlineStr">
        <is>
          <t>1.1.2</t>
        </is>
      </c>
      <c r="H8" s="7">
        <f>COUNTIF(Changes!$G$2:$G$108,G8)</f>
        <v/>
      </c>
    </row>
    <row r="9">
      <c r="A9" s="8" t="inlineStr">
        <is>
          <t>Bug Fix</t>
        </is>
      </c>
      <c r="B9" s="7">
        <f>COUNTIF(Changes!$C$2:$C$108,A9)</f>
        <v/>
      </c>
      <c r="D9" s="7" t="inlineStr">
        <is>
          <t>Add Task</t>
        </is>
      </c>
      <c r="E9" s="7">
        <f>COUNTIF(Changes!$D$2:$D$108,D9)</f>
        <v/>
      </c>
      <c r="G9" s="7" t="inlineStr">
        <is>
          <t>1.1.3</t>
        </is>
      </c>
      <c r="H9" s="7">
        <f>COUNTIF(Changes!$G$2:$G$108,G9)</f>
        <v/>
      </c>
    </row>
    <row r="10">
      <c r="A10" s="9" t="inlineStr">
        <is>
          <t>UI</t>
        </is>
      </c>
      <c r="B10" s="7">
        <f>COUNTIF(Changes!$C$2:$C$108,A10)</f>
        <v/>
      </c>
      <c r="D10" s="7" t="inlineStr">
        <is>
          <t>Auth</t>
        </is>
      </c>
      <c r="E10" s="7">
        <f>COUNTIF(Changes!$D$2:$D$108,D10)</f>
        <v/>
      </c>
      <c r="G10" s="7" t="inlineStr">
        <is>
          <t>1.1.4</t>
        </is>
      </c>
      <c r="H10" s="7">
        <f>COUNTIF(Changes!$G$2:$G$108,G10)</f>
        <v/>
      </c>
    </row>
    <row r="11">
      <c r="A11" s="10" t="inlineStr">
        <is>
          <t>Infra</t>
        </is>
      </c>
      <c r="B11" s="7">
        <f>COUNTIF(Changes!$C$2:$C$108,A11)</f>
        <v/>
      </c>
      <c r="D11" s="7" t="inlineStr">
        <is>
          <t>Auth / Sync</t>
        </is>
      </c>
      <c r="E11" s="7">
        <f>COUNTIF(Changes!$D$2:$D$108,D11)</f>
        <v/>
      </c>
      <c r="G11" s="7" t="inlineStr">
        <is>
          <t>1.1.6</t>
        </is>
      </c>
      <c r="H11" s="7">
        <f>COUNTIF(Changes!$G$2:$G$108,G11)</f>
        <v/>
      </c>
    </row>
    <row r="12">
      <c r="A12" s="11" t="inlineStr">
        <is>
          <t>Security</t>
        </is>
      </c>
      <c r="B12" s="7">
        <f>COUNTIF(Changes!$C$2:$C$108,A12)</f>
        <v/>
      </c>
      <c r="D12" s="7" t="inlineStr">
        <is>
          <t>Backend</t>
        </is>
      </c>
      <c r="E12" s="7">
        <f>COUNTIF(Changes!$D$2:$D$108,D12)</f>
        <v/>
      </c>
      <c r="G12" s="7" t="inlineStr">
        <is>
          <t>1.1.7</t>
        </is>
      </c>
      <c r="H12" s="7">
        <f>COUNTIF(Changes!$G$2:$G$108,G12)</f>
        <v/>
      </c>
    </row>
    <row r="13">
      <c r="A13" s="12" t="inlineStr">
        <is>
          <t>Chore</t>
        </is>
      </c>
      <c r="B13" s="7">
        <f>COUNTIF(Changes!$C$2:$C$108,A13)</f>
        <v/>
      </c>
      <c r="D13" s="7" t="inlineStr">
        <is>
          <t>Billing</t>
        </is>
      </c>
      <c r="E13" s="7">
        <f>COUNTIF(Changes!$D$2:$D$108,D13)</f>
        <v/>
      </c>
      <c r="G13" s="7" t="inlineStr">
        <is>
          <t>Unreleased</t>
        </is>
      </c>
      <c r="H13" s="7">
        <f>COUNTIF(Changes!$G$2:$G$108,G13)</f>
        <v/>
      </c>
    </row>
    <row r="14">
      <c r="A14" s="12" t="inlineStr">
        <is>
          <t>Docs</t>
        </is>
      </c>
      <c r="B14" s="7">
        <f>COUNTIF(Changes!$C$2:$C$108,A14)</f>
        <v/>
      </c>
      <c r="D14" s="7" t="inlineStr">
        <is>
          <t>CI/CD</t>
        </is>
      </c>
      <c r="E14" s="7">
        <f>COUNTIF(Changes!$D$2:$D$108,D14)</f>
        <v/>
      </c>
    </row>
    <row r="15">
      <c r="D15" s="7" t="inlineStr">
        <is>
          <t>Calendar</t>
        </is>
      </c>
      <c r="E15" s="7">
        <f>COUNTIF(Changes!$D$2:$D$108,D15)</f>
        <v/>
      </c>
    </row>
    <row r="16">
      <c r="D16" s="7" t="inlineStr">
        <is>
          <t>Challenges</t>
        </is>
      </c>
      <c r="E16" s="7">
        <f>COUNTIF(Changes!$D$2:$D$108,D16)</f>
        <v/>
      </c>
    </row>
    <row r="17">
      <c r="D17" s="7" t="inlineStr">
        <is>
          <t>Dependencies</t>
        </is>
      </c>
      <c r="E17" s="7">
        <f>COUNTIF(Changes!$D$2:$D$108,D17)</f>
        <v/>
      </c>
    </row>
    <row r="18">
      <c r="D18" s="7" t="inlineStr">
        <is>
          <t>Discoverability</t>
        </is>
      </c>
      <c r="E18" s="7">
        <f>COUNTIF(Changes!$D$2:$D$108,D18)</f>
        <v/>
      </c>
    </row>
    <row r="19">
      <c r="D19" s="7" t="inlineStr">
        <is>
          <t>Drift In</t>
        </is>
      </c>
      <c r="E19" s="7">
        <f>COUNTIF(Changes!$D$2:$D$108,D19)</f>
        <v/>
      </c>
    </row>
    <row r="20">
      <c r="D20" s="7" t="inlineStr">
        <is>
          <t>Family</t>
        </is>
      </c>
      <c r="E20" s="7">
        <f>COUNTIF(Changes!$D$2:$D$108,D20)</f>
        <v/>
      </c>
    </row>
    <row r="21">
      <c r="D21" s="7" t="inlineStr">
        <is>
          <t>Growth</t>
        </is>
      </c>
      <c r="E21" s="7">
        <f>COUNTIF(Changes!$D$2:$D$108,D21)</f>
        <v/>
      </c>
    </row>
    <row r="22">
      <c r="D22" s="7" t="inlineStr">
        <is>
          <t>Interaction</t>
        </is>
      </c>
      <c r="E22" s="7">
        <f>COUNTIF(Changes!$D$2:$D$108,D22)</f>
        <v/>
      </c>
    </row>
    <row r="23">
      <c r="D23" s="7" t="inlineStr">
        <is>
          <t>Navigation</t>
        </is>
      </c>
      <c r="E23" s="7">
        <f>COUNTIF(Changes!$D$2:$D$108,D23)</f>
        <v/>
      </c>
    </row>
    <row r="24">
      <c r="D24" s="7" t="inlineStr">
        <is>
          <t>Notifications</t>
        </is>
      </c>
      <c r="E24" s="7">
        <f>COUNTIF(Changes!$D$2:$D$108,D24)</f>
        <v/>
      </c>
    </row>
    <row r="25">
      <c r="D25" s="7" t="inlineStr">
        <is>
          <t>Onboarding</t>
        </is>
      </c>
      <c r="E25" s="7">
        <f>COUNTIF(Changes!$D$2:$D$108,D25)</f>
        <v/>
      </c>
    </row>
    <row r="26">
      <c r="D26" s="7" t="inlineStr">
        <is>
          <t>Payments</t>
        </is>
      </c>
      <c r="E26" s="7">
        <f>COUNTIF(Changes!$D$2:$D$108,D26)</f>
        <v/>
      </c>
    </row>
    <row r="27">
      <c r="D27" s="7" t="inlineStr">
        <is>
          <t>Performance</t>
        </is>
      </c>
      <c r="E27" s="7">
        <f>COUNTIF(Changes!$D$2:$D$108,D27)</f>
        <v/>
      </c>
    </row>
    <row r="28">
      <c r="D28" s="7" t="inlineStr">
        <is>
          <t>Process</t>
        </is>
      </c>
      <c r="E28" s="7">
        <f>COUNTIF(Changes!$D$2:$D$108,D28)</f>
        <v/>
      </c>
    </row>
    <row r="29">
      <c r="D29" s="7" t="inlineStr">
        <is>
          <t>Profile</t>
        </is>
      </c>
      <c r="E29" s="7">
        <f>COUNTIF(Changes!$D$2:$D$108,D29)</f>
        <v/>
      </c>
    </row>
    <row r="30">
      <c r="D30" s="7" t="inlineStr">
        <is>
          <t>Release</t>
        </is>
      </c>
      <c r="E30" s="7">
        <f>COUNTIF(Changes!$D$2:$D$108,D30)</f>
        <v/>
      </c>
    </row>
    <row r="31">
      <c r="D31" s="7" t="inlineStr">
        <is>
          <t>Scaling</t>
        </is>
      </c>
      <c r="E31" s="7">
        <f>COUNTIF(Changes!$D$2:$D$108,D31)</f>
        <v/>
      </c>
    </row>
    <row r="32">
      <c r="D32" s="7" t="inlineStr">
        <is>
          <t>Screen Time</t>
        </is>
      </c>
      <c r="E32" s="7">
        <f>COUNTIF(Changes!$D$2:$D$108,D32)</f>
        <v/>
      </c>
    </row>
    <row r="33">
      <c r="D33" s="7" t="inlineStr">
        <is>
          <t>Shield</t>
        </is>
      </c>
      <c r="E33" s="7">
        <f>COUNTIF(Changes!$D$2:$D$108,D33)</f>
        <v/>
      </c>
    </row>
    <row r="34">
      <c r="D34" s="7" t="inlineStr">
        <is>
          <t>Siri</t>
        </is>
      </c>
      <c r="E34" s="7">
        <f>COUNTIF(Changes!$D$2:$D$108,D34)</f>
        <v/>
      </c>
    </row>
    <row r="35">
      <c r="D35" s="7" t="inlineStr">
        <is>
          <t>Tasks</t>
        </is>
      </c>
      <c r="E35" s="7">
        <f>COUNTIF(Changes!$D$2:$D$108,D35)</f>
        <v/>
      </c>
    </row>
    <row r="36">
      <c r="D36" s="7" t="inlineStr">
        <is>
          <t>Theme</t>
        </is>
      </c>
      <c r="E36" s="7">
        <f>COUNTIF(Changes!$D$2:$D$108,D36)</f>
        <v/>
      </c>
    </row>
    <row r="37">
      <c r="D37" s="7" t="inlineStr">
        <is>
          <t>Tour</t>
        </is>
      </c>
      <c r="E37" s="7">
        <f>COUNTIF(Changes!$D$2:$D$108,D37)</f>
        <v/>
      </c>
    </row>
    <row r="38">
      <c r="D38" s="7" t="inlineStr">
        <is>
          <t>UI</t>
        </is>
      </c>
      <c r="E38" s="7">
        <f>COUNTIF(Changes!$D$2:$D$108,D38)</f>
        <v/>
      </c>
    </row>
    <row r="39">
      <c r="D39" s="7" t="inlineStr">
        <is>
          <t>Website</t>
        </is>
      </c>
      <c r="E39" s="7">
        <f>COUNTIF(Changes!$D$2:$D$108,D39)</f>
        <v/>
      </c>
    </row>
    <row r="42">
      <c r="A42" s="4" t="inlineStr">
        <is>
          <t>Notes</t>
        </is>
      </c>
    </row>
    <row r="43">
      <c r="A43" s="13" t="inlineStr">
        <is>
          <t>• 1.1.4 is the last version submitted to the App Store. Everything marked Unreleased is on main but not shipped.</t>
        </is>
      </c>
    </row>
    <row r="44">
      <c r="A44" s="13" t="inlineStr">
        <is>
          <t>• "Needs" says what a change requires beyond a normal JS reload: a native rebuild, an edge-function deploy, or SQL run in Supabase.</t>
        </is>
      </c>
    </row>
    <row r="45">
      <c r="A45" s="13" t="inlineStr">
        <is>
          <t>• Native-build items are currently blocked on Apple Developer account access, so they are not device-tested.</t>
        </is>
      </c>
    </row>
    <row r="46">
      <c r="A46"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8"/>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25" t="inlineStr">
        <is>
          <t>Unreleased</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25" t="inlineStr">
        <is>
          <t>Unreleased</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25" t="inlineStr">
        <is>
          <t>Unreleased</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25" t="inlineStr">
        <is>
          <t>Unreleased</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25" t="inlineStr">
        <is>
          <t>Unreleased</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row r="107" ht="40" customHeight="1">
      <c r="A107" s="15" t="inlineStr">
        <is>
          <t>2026-08-27</t>
        </is>
      </c>
      <c r="B107" s="16" t="inlineStr">
        <is>
          <t>—</t>
        </is>
      </c>
      <c r="C107" s="19" t="inlineStr">
        <is>
          <t>Bug Fix</t>
        </is>
      </c>
      <c r="D107" s="15" t="inlineStr">
        <is>
          <t>Auth</t>
        </is>
      </c>
      <c r="E107" s="18" t="inlineStr">
        <is>
          <t>Users signed out at random, and permanently</t>
        </is>
      </c>
      <c r="F107" s="18" t="inlineStr">
        <is>
          <t>encryptedAuthStorage.getItem() wrapped the whole method in one try/catch whose fallback was `return raw` - the ENCRYPTED BLOB. getAuthCipherKey() is deliberately allowed to throw so a transient Keychain miss cannot mint a new key and orphan the session, but that throw landed in the catch-all, so Supabase was handed {"iv":...,"value":...}. It parses as valid JSON, has no access_token, so Supabase concluded the session was corrupt, signed the user out AND overwrote the storage key - destroying the ciphertext the next launch needed. A transient miss became a permanent logout. Trigger: the key is stored AFTER_FIRST_UNLOCK_THIS_DEVICE_ONLY and backgroundRefresh.js registers a background task on a 15-minute floor, so iOS can wake the app after a reboot but BEFORE the first unlock, when that Keychain item genuinely cannot be read. No UI is on screen, so nothing looks wrong until the user next opens the app. The encrypted branch now has its own catch returning null - same contract as the wrong-key path beside it - so the read reports "no session this launch" and leaves the ciphertext for the next unlocked read. JSON.parse failure keeps its own catch returning raw, since an unknown shape should not be destroyed either.</t>
        </is>
      </c>
      <c r="G107" s="16" t="inlineStr">
        <is>
          <t>1.1.7</t>
        </is>
      </c>
      <c r="H107" s="16" t="inlineStr">
        <is>
          <t>—</t>
        </is>
      </c>
    </row>
    <row r="108" ht="40" customHeight="1">
      <c r="A108" s="15" t="inlineStr">
        <is>
          <t>2026-08-27</t>
        </is>
      </c>
      <c r="B108" s="16" t="inlineStr">
        <is>
          <t>—</t>
        </is>
      </c>
      <c r="C108" s="23" t="inlineStr">
        <is>
          <t>UI</t>
        </is>
      </c>
      <c r="D108" s="15" t="inlineStr">
        <is>
          <t>Payments</t>
        </is>
      </c>
      <c r="E108" s="18" t="inlineStr">
        <is>
          <t>Paywall opens on the plan that matches the account type</t>
        </is>
      </c>
      <c r="F108" s="18" t="inlineStr">
        <is>
          <t>The who-is-using-Drift selector always defaulted to "Just me", so a parent account landed on the solo plan and had to find the selector to reach the only tier that covers their children. PaywallScreen now takes accountType and starts a parent on Family (1 child, the cheapest usable tier) and a personal account on Pro. Both remain reachable from the selector either way - this only changes where each account starts. Children never reach the paywall; they render in ChildShell above it, entitled through their parent.</t>
        </is>
      </c>
      <c r="G108" s="16" t="inlineStr">
        <is>
          <t>1.1.7</t>
        </is>
      </c>
      <c r="H108" s="16" t="inlineStr">
        <is>
          <t>—</t>
        </is>
      </c>
    </row>
  </sheetData>
  <autoFilter ref="A1:H1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2026-08-27T23:22:29Z</dcterms:created>
  <dcterms:modified xsi:type="dcterms:W3CDTF">2026-08-27T23:22:29Z</dcterms:modified>
</cp:coreProperties>
</file>